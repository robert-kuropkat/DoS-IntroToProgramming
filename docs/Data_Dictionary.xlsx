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ictionary" sheetId="2" state="visible" r:id="rId4"/>
    <sheet name="Concept Lookup" sheetId="3" state="visible" r:id="rId5"/>
    <sheet name="Engine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<sst xmlns="http://schemas.openxmlformats.org/spreadsheetml/2006/main" count="107" uniqueCount="94">
  <si>
    <t xml:space="preserve">SLHE Video Game Creation - Cross-Engine Data Dictionary</t>
  </si>
  <si>
    <t xml:space="preserve">Purpose: a single, formal reference naming every variable, function, and file this course creates - one common cross-engine concept name (e.g. "Per-Frame Update Hook"), paired with each of the 8 engines' own actual name for that same concept, wherever the engines can express it. Built to drive Standards Rule 12's cross-engine naming/structure consistency goal, and to make it easy to spot where engines have drifted apart or genuinely can't match.</t>
  </si>
  <si>
    <t xml:space="preserve">Status as of this version: seeded with the three concepts fully worked out during Lesson 5's Rule 11/Rule 12 retrofit (the spawn-loop counter, the newly-spawned-enemy reference, and the per-frame update hook). Not yet an exhaustive audit of every lesson - grows as each concept is worked through. Not yet decided whether this document itself will ever be shown to students, or stays a production-only tool.</t>
  </si>
  <si>
    <t xml:space="preserve">How to use this workbook</t>
  </si>
  <si>
    <t xml:space="preserve">Dictionary tab: the actual data - one row per concept, one column per engine/coding-style. This is the source of truth; the other two tabs just present it differently. Add new rows here as new concepts are worked out; keep the existing column layout so the other tabs' formulas keep working.</t>
  </si>
  <si>
    <t xml:space="preserve">Concept Lookup tab: pick a Concept ID from the dropdown in cell C4 and every field for that concept displays below it, one per line - the closest Excel equivalent to an Access "Form" (single-record view) that this file format supports.</t>
  </si>
  <si>
    <t xml:space="preserve">Engine Report tab: pick an engine/style from the dropdown in cell C4 and every concept's name, that engine's specific term, and its notes list out below - the closest Excel equivalent to an Access "Report" (one engine's full reference sheet) that this file format supports.</t>
  </si>
  <si>
    <t xml:space="preserve">A note on format</t>
  </si>
  <si>
    <t xml:space="preserve">Robert's first choice was a real Microsoft Access database with a Form and a Report. That turned out not to be buildable in this project's working environment: Access's modern .accdb format has no Linux-native authoring tool at all (mdbtools, the standard Linux toolkit for Access files, only reads/writes the legacy Jet 3/4 .mdb format from Access 97/2000/2002), and more fundamentally, Access Forms and Reports are proprietary, VBA-hosted application objects with no file-level equivalent outside Access itself - nothing short of the real Access application, which requires Windows, can author a working Form or Report object. This workbook is the closest practical substitute: real per-record and per-engine views (Concept Lookup and Engine Report, above), built with formulas so they update automatically as the Dictionary tab grows, rather than a flat spreadsheet you have to scroll and filter by hand.</t>
  </si>
  <si>
    <t xml:space="preserve">Known open questions this dictionary will help settle</t>
  </si>
  <si>
    <t xml:space="preserve">The naming CASE convention (PascalCase vs. camelCase vs. snake_case) is not yet decided course-wide - see the Book Notes &amp; To-Do document. Robert's stated leaning: favor cross-engine consistency in the chosen case style even where it overrides an engine's own idiomatic convention, explaining any such deviation via a Sidebar. Once decided, this dictionary is exactly the tool to check every engine's entries against the decision.</t>
  </si>
  <si>
    <t xml:space="preserve">Several Consistency Status values in the Dictionary tab are "Reconciliation Pending" or "Structural Gap" rather than "Consistent" - these are real, already-known inconsistencies (see each row's Notes column), not data-entry gaps. A "Not Applicable" status means the concept genuinely doesn't exist in that engine by design (e.g. GDevelop and 001 Game Creator have no per-frame update hook at all), which is a legitimate answer, not a missing one.</t>
  </si>
  <si>
    <t xml:space="preserve">ID</t>
  </si>
  <si>
    <t xml:space="preserve">Concept Name</t>
  </si>
  <si>
    <t xml:space="preserve">Category</t>
  </si>
  <si>
    <t xml:space="preserve">Description</t>
  </si>
  <si>
    <t xml:space="preserve">Scratch</t>
  </si>
  <si>
    <t xml:space="preserve">Godot (GDScript)</t>
  </si>
  <si>
    <t xml:space="preserve">GameMaker - Script (GML)</t>
  </si>
  <si>
    <t xml:space="preserve">GameMaker - Visual (GML Visual)</t>
  </si>
  <si>
    <t xml:space="preserve">Unity - C# (Script)</t>
  </si>
  <si>
    <t xml:space="preserve">Unity - Visual Scripting</t>
  </si>
  <si>
    <t xml:space="preserve">GDevelop</t>
  </si>
  <si>
    <t xml:space="preserve">001 Game Creator</t>
  </si>
  <si>
    <t xml:space="preserve">TIC-80 (Lua)</t>
  </si>
  <si>
    <t xml:space="preserve">Unreal - Blueprint</t>
  </si>
  <si>
    <t xml:space="preserve">Unreal - C++</t>
  </si>
  <si>
    <t xml:space="preserve">Consistency Status</t>
  </si>
  <si>
    <t xml:space="preserve">Notes</t>
  </si>
  <si>
    <t xml:space="preserve">C001</t>
  </si>
  <si>
    <t xml:space="preserve">Spawn Loop Counter</t>
  </si>
  <si>
    <t xml:space="preserve">Variable</t>
  </si>
  <si>
    <t xml:space="preserve">Tracks which enemy (0-based position) is being created during the Level 1 spawn loop; also drives Level 3's alternating stripe color.</t>
  </si>
  <si>
    <t xml:space="preserve">enemy_number (pending rename - see Notes)</t>
  </si>
  <si>
    <t xml:space="preserve">enemy_count</t>
  </si>
  <si>
    <t xml:space="preserve">enemyIndex (deviates - see Notes)</t>
  </si>
  <si>
    <t xml:space="preserve">Index (native ForLoop pin - not a chosen variable)</t>
  </si>
  <si>
    <t xml:space="preserve">EnemyIndex</t>
  </si>
  <si>
    <t xml:space="preserve">Not yet audited</t>
  </si>
  <si>
    <t xml:space="preserve">Not yet audited (known to still use bare i as of last audit)</t>
  </si>
  <si>
    <t xml:space="preserve">EnemyCount</t>
  </si>
  <si>
    <t xml:space="preserve">Reconciliation Pending</t>
  </si>
  <si>
    <t xml:space="preserve">Winning word per Robert's explicit decision is "count" (enemy_count / EnemyCount) - reconciled across GameMaker, Godot, and Unreal's C++ track. Scratch (enemy_number) is queued for rename to match. Unity's enemyIndex deviates on purpose: Unity's EnemySpawner already has a public enemyCount field for the total-to-spawn, so reusing that name for the loop counter would shadow it - left as enemyIndex pending the Rule 12 coordinated pass. GDevelop's EnemyIndex is meaningful but a different underlying word ("index" vs. "count") - also queued for that same pass. Unity Visual Scripting's and Unreal Blueprint's "Index" are each engine's own fixed node-pin name, not something this course chose, so they're excluded from the word-choice reconciliation entirely.</t>
  </si>
  <si>
    <t xml:space="preserve">C002</t>
  </si>
  <si>
    <t xml:space="preserve">Newly Spawned Enemy Reference</t>
  </si>
  <si>
    <t xml:space="preserve">Holds a reference to the specific enemy instance just created inside the spawn loop, so per-instance edits (e.g. Level 3's stripe color) apply to only that one instance.</t>
  </si>
  <si>
    <t xml:space="preserve">Not yet confirmed</t>
  </si>
  <si>
    <t xml:space="preserve">new_enemy</t>
  </si>
  <si>
    <t xml:space="preserve">new_enemy (via Create Instance's Target field)</t>
  </si>
  <si>
    <t xml:space="preserve">newEnemy</t>
  </si>
  <si>
    <t xml:space="preserve">Not applicable - Instantiate's output wired directly to Set Position, no named variable</t>
  </si>
  <si>
    <t xml:space="preserve">Not applicable - Spawn Actor from Class's Return Value wired directly, no named variable</t>
  </si>
  <si>
    <t xml:space="preserve">Not applicable - SpawnActor&lt;&gt;() call result isn't stored in this course's current code</t>
  </si>
  <si>
    <t xml:space="preserve">Structural Gap</t>
  </si>
  <si>
    <t xml:space="preserve">Godot, GameMaker, and Unity's C# track all promote the spawned instance to a named variable (new_enemy / newEnemy). Unity Visual Scripting, Unreal Blueprint, and Unreal C++ currently wire the result directly with no name at all - this is a structural inconsistency, not just a naming one (there's no variable to rename). Tracked under Standards Rule 12's coordinated pass; the Unreal Blueprint case is the one that originally surfaced this gap (see Book Notes &amp; To-Do).</t>
  </si>
  <si>
    <t xml:space="preserve">C003</t>
  </si>
  <si>
    <t xml:space="preserve">Per-Frame Update Hook</t>
  </si>
  <si>
    <t xml:space="preserve">Function / Event</t>
  </si>
  <si>
    <t xml:space="preserve">The engine's mechanism for running logic once every rendered frame (continuous input polling, movement, etc.), established starting Lesson 2.</t>
  </si>
  <si>
    <t xml:space="preserve">"forever" loop block (no discrete named function)</t>
  </si>
  <si>
    <t xml:space="preserve">_process(delta)</t>
  </si>
  <si>
    <t xml:space="preserve">Step event</t>
  </si>
  <si>
    <t xml:space="preserve">Step event (same event as Script; Visual-track blocks live inside it)</t>
  </si>
  <si>
    <t xml:space="preserve">Update()</t>
  </si>
  <si>
    <t xml:space="preserve">Not yet confirmed against actual course content</t>
  </si>
  <si>
    <t xml:space="preserve">Not applicable - event sheet conditions are re-checked every frame implicitly, no named function</t>
  </si>
  <si>
    <t xml:space="preserve">Not applicable by design - continuous motion uses the built-in Automatic Movement Actor setting; input is trigger-based (Pressed/Released), never per-frame polling</t>
  </si>
  <si>
    <t xml:space="preserve">function TIC() (exact capitalization required)</t>
  </si>
  <si>
    <t xml:space="preserve">Event Tick</t>
  </si>
  <si>
    <t xml:space="preserve">Tick(float DeltaSeconds) override (parameter is named DeltaSeconds in this course's code, not DeltaTime)</t>
  </si>
  <si>
    <t xml:space="preserve">Not Applicable</t>
  </si>
  <si>
    <t xml:space="preserve">This is a case where "consistency" correctly does NOT mean "the same name everywhere": GDevelop and 001 Game Creator are architecturally event-driven/declarative and correctly have no per-frame hook at all - forcing one in would fight those engines' own idioms (Standards Rule 5). Included here as the model example of a concept where Rule 12's consistency goal doesn't apply, so a future contributor doesn't try to manufacture an equivalent that shouldn't exist.</t>
  </si>
  <si>
    <t xml:space="preserve">Concept Lookup</t>
  </si>
  <si>
    <t xml:space="preserve">Select Concept ID:</t>
  </si>
  <si>
    <t xml:space="preserve">Concept Name:</t>
  </si>
  <si>
    <t xml:space="preserve">Category:</t>
  </si>
  <si>
    <t xml:space="preserve">Description:</t>
  </si>
  <si>
    <t xml:space="preserve">Per-Engine Names</t>
  </si>
  <si>
    <t xml:space="preserve">Scratch:</t>
  </si>
  <si>
    <t xml:space="preserve">Godot (GDScript):</t>
  </si>
  <si>
    <t xml:space="preserve">GameMaker - Script (GML):</t>
  </si>
  <si>
    <t xml:space="preserve">GameMaker - Visual (GML Visual):</t>
  </si>
  <si>
    <t xml:space="preserve">Unity - C# (Script):</t>
  </si>
  <si>
    <t xml:space="preserve">Unity - Visual Scripting:</t>
  </si>
  <si>
    <t xml:space="preserve">GDevelop:</t>
  </si>
  <si>
    <t xml:space="preserve">001 Game Creator:</t>
  </si>
  <si>
    <t xml:space="preserve">TIC-80 (Lua):</t>
  </si>
  <si>
    <t xml:space="preserve">Unreal - Blueprint:</t>
  </si>
  <si>
    <t xml:space="preserve">Unreal - C++:</t>
  </si>
  <si>
    <t xml:space="preserve">Consistency Status:</t>
  </si>
  <si>
    <t xml:space="preserve">Notes:</t>
  </si>
  <si>
    <t xml:space="preserve">Engine Reference Report</t>
  </si>
  <si>
    <t xml:space="preserve">Select Engine / Coding Style:</t>
  </si>
  <si>
    <t xml:space="preserve">This Engine's Term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</si>
</sst>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BF9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8CBAD"/>
        <bgColor rgb="FFD9D9D9"/>
      </patternFill>
    </fill>
    <fill>
      <patternFill patternType="solid">
        <fgColor rgb="FFD9D9D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75" hidden="false" customHeight="true" outlineLevel="0" collapsed="false">
      <c r="B3" s="2" t="s">
        <v>1</v>
      </c>
    </row>
    <row r="5" customFormat="false" ht="75" hidden="false" customHeight="true" outlineLevel="0" collapsed="false">
      <c r="B5" s="3" t="s">
        <v>2</v>
      </c>
    </row>
    <row r="7" customFormat="false" ht="16.15" hidden="false" customHeight="false" outlineLevel="0" collapsed="false">
      <c r="B7" s="4" t="s">
        <v>3</v>
      </c>
    </row>
    <row r="8" customFormat="false" ht="60" hidden="false" customHeight="true" outlineLevel="0" collapsed="false">
      <c r="B8" s="2" t="s">
        <v>4</v>
      </c>
    </row>
    <row r="10" customFormat="false" ht="45" hidden="false" customHeight="true" outlineLevel="0" collapsed="false">
      <c r="B10" s="2" t="s">
        <v>5</v>
      </c>
    </row>
    <row r="12" customFormat="false" ht="45" hidden="false" customHeight="true" outlineLevel="0" collapsed="false">
      <c r="B12" s="2" t="s">
        <v>6</v>
      </c>
    </row>
    <row r="14" customFormat="false" ht="16.15" hidden="false" customHeight="false" outlineLevel="0" collapsed="false">
      <c r="B14" s="4" t="s">
        <v>7</v>
      </c>
    </row>
    <row r="15" customFormat="false" ht="150" hidden="false" customHeight="true" outlineLevel="0" collapsed="false">
      <c r="B15" s="2" t="s">
        <v>8</v>
      </c>
    </row>
    <row r="17" customFormat="false" ht="16.15" hidden="false" customHeight="false" outlineLevel="0" collapsed="false">
      <c r="B17" s="4" t="s">
        <v>9</v>
      </c>
    </row>
    <row r="18" customFormat="false" ht="75" hidden="false" customHeight="true" outlineLevel="0" collapsed="false">
      <c r="B18" s="2" t="s">
        <v>10</v>
      </c>
    </row>
    <row r="20" customFormat="false" ht="75" hidden="false" customHeight="true" outlineLevel="0" collapsed="false">
      <c r="B20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60"/>
  </cols>
  <sheetData>
    <row r="1" customFormat="false" ht="31.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</row>
    <row r="2" customFormat="false" ht="60" hidden="false" customHeight="true" outlineLevel="0" collapsed="false">
      <c r="A2" s="6" t="s">
        <v>29</v>
      </c>
      <c r="B2" s="7" t="s">
        <v>30</v>
      </c>
      <c r="C2" s="6" t="s">
        <v>31</v>
      </c>
      <c r="D2" s="7" t="s">
        <v>32</v>
      </c>
      <c r="E2" s="7" t="s">
        <v>33</v>
      </c>
      <c r="F2" s="7" t="s">
        <v>34</v>
      </c>
      <c r="G2" s="7" t="s">
        <v>34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36</v>
      </c>
      <c r="O2" s="7" t="s">
        <v>40</v>
      </c>
      <c r="P2" s="8" t="s">
        <v>41</v>
      </c>
      <c r="Q2" s="7" t="s">
        <v>42</v>
      </c>
    </row>
    <row r="3" customFormat="false" ht="60" hidden="false" customHeight="true" outlineLevel="0" collapsed="false">
      <c r="A3" s="9" t="s">
        <v>43</v>
      </c>
      <c r="B3" s="10" t="s">
        <v>44</v>
      </c>
      <c r="C3" s="9" t="s">
        <v>31</v>
      </c>
      <c r="D3" s="10" t="s">
        <v>45</v>
      </c>
      <c r="E3" s="10" t="s">
        <v>46</v>
      </c>
      <c r="F3" s="10" t="s">
        <v>47</v>
      </c>
      <c r="G3" s="10" t="s">
        <v>47</v>
      </c>
      <c r="H3" s="10" t="s">
        <v>48</v>
      </c>
      <c r="I3" s="10" t="s">
        <v>49</v>
      </c>
      <c r="J3" s="10" t="s">
        <v>50</v>
      </c>
      <c r="K3" s="10" t="s">
        <v>46</v>
      </c>
      <c r="L3" s="10" t="s">
        <v>38</v>
      </c>
      <c r="M3" s="10" t="s">
        <v>38</v>
      </c>
      <c r="N3" s="10" t="s">
        <v>51</v>
      </c>
      <c r="O3" s="10" t="s">
        <v>52</v>
      </c>
      <c r="P3" s="11" t="s">
        <v>53</v>
      </c>
      <c r="Q3" s="10" t="s">
        <v>54</v>
      </c>
    </row>
    <row r="4" customFormat="false" ht="60" hidden="false" customHeight="true" outlineLevel="0" collapsed="false">
      <c r="A4" s="6" t="s">
        <v>55</v>
      </c>
      <c r="B4" s="7" t="s">
        <v>56</v>
      </c>
      <c r="C4" s="6" t="s">
        <v>57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  <c r="J4" s="7" t="s">
        <v>64</v>
      </c>
      <c r="K4" s="7" t="s">
        <v>65</v>
      </c>
      <c r="L4" s="7" t="s">
        <v>66</v>
      </c>
      <c r="M4" s="7" t="s">
        <v>67</v>
      </c>
      <c r="N4" s="7" t="s">
        <v>68</v>
      </c>
      <c r="O4" s="7" t="s">
        <v>69</v>
      </c>
      <c r="P4" s="12" t="s">
        <v>70</v>
      </c>
      <c r="Q4" s="7" t="s">
        <v>71</v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dataValidations count="2">
    <dataValidation allowBlank="true" errorStyle="stop" operator="between" showDropDown="false" showErrorMessage="false" showInputMessage="false" sqref="C2:C21" type="list">
      <formula1>"Variable,Function / Event,File,Object / Actor Class,Other"</formula1>
      <formula2>0</formula2>
    </dataValidation>
    <dataValidation allowBlank="true" errorStyle="stop" operator="between" showDropDown="false" showErrorMessage="false" showInputMessage="false" sqref="P2:P21" type="list">
      <formula1>"Consistent,Reconciliation Pending,Structural Gap,Not Applicable,Not Yet Audited"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72</v>
      </c>
    </row>
    <row r="4" customFormat="false" ht="15" hidden="false" customHeight="false" outlineLevel="0" collapsed="false">
      <c r="B4" s="14" t="s">
        <v>73</v>
      </c>
      <c r="C4" s="15" t="s">
        <v>29</v>
      </c>
    </row>
    <row r="6" customFormat="false" ht="30" hidden="false" customHeight="true" outlineLevel="0" collapsed="false">
      <c r="B6" s="16" t="s">
        <v>74</v>
      </c>
      <c r="C6" s="2" t="str">
        <f aca="false">IFERROR(INDEX(Dictionary!$B$2:$B$21,MATCH($C$4,Dictionary!$A$2:$A$21,0)),"")</f>
        <v>Spawn Loop Counter</v>
      </c>
    </row>
    <row r="8" customFormat="false" ht="30" hidden="false" customHeight="true" outlineLevel="0" collapsed="false">
      <c r="B8" s="16" t="s">
        <v>75</v>
      </c>
      <c r="C8" s="2" t="str">
        <f aca="false">IFERROR(INDEX(Dictionary!$C$2:$C$21,MATCH($C$4,Dictionary!$A$2:$A$21,0)),"")</f>
        <v>Variable</v>
      </c>
    </row>
    <row r="10" customFormat="false" ht="30" hidden="false" customHeight="true" outlineLevel="0" collapsed="false">
      <c r="B10" s="16" t="s">
        <v>76</v>
      </c>
      <c r="C10" s="2" t="str">
        <f aca="false">IFERROR(INDEX(Dictionary!$D$2:$D$21,MATCH($C$4,Dictionary!$A$2:$A$21,0)),"")</f>
        <v>Tracks which enemy (0-based position) is being created during the Level 1 spawn loop; also drives Level 3's alternating stripe color.</v>
      </c>
    </row>
    <row r="12" customFormat="false" ht="16.15" hidden="false" customHeight="false" outlineLevel="0" collapsed="false">
      <c r="B12" s="17" t="s">
        <v>77</v>
      </c>
    </row>
    <row r="14" customFormat="false" ht="27.75" hidden="false" customHeight="true" outlineLevel="0" collapsed="false">
      <c r="B14" s="16" t="s">
        <v>78</v>
      </c>
      <c r="C14" s="2" t="str">
        <f aca="false">IFERROR(INDEX(Dictionary!$E$2:$E$21,MATCH($C$4,Dictionary!$A$2:$A$21,0)),"")</f>
        <v>enemy_number (pending rename - see Notes)</v>
      </c>
    </row>
    <row r="15" customFormat="false" ht="27.75" hidden="false" customHeight="true" outlineLevel="0" collapsed="false">
      <c r="B15" s="16" t="s">
        <v>79</v>
      </c>
      <c r="C15" s="2" t="str">
        <f aca="false">IFERROR(INDEX(Dictionary!$F$2:$F$21,MATCH($C$4,Dictionary!$A$2:$A$21,0)),"")</f>
        <v>enemy_count</v>
      </c>
    </row>
    <row r="16" customFormat="false" ht="27.75" hidden="false" customHeight="true" outlineLevel="0" collapsed="false">
      <c r="B16" s="16" t="s">
        <v>80</v>
      </c>
      <c r="C16" s="2" t="str">
        <f aca="false">IFERROR(INDEX(Dictionary!$G$2:$G$21,MATCH($C$4,Dictionary!$A$2:$A$21,0)),"")</f>
        <v>enemy_count</v>
      </c>
    </row>
    <row r="17" customFormat="false" ht="27.75" hidden="false" customHeight="true" outlineLevel="0" collapsed="false">
      <c r="B17" s="16" t="s">
        <v>81</v>
      </c>
      <c r="C17" s="2" t="str">
        <f aca="false">IFERROR(INDEX(Dictionary!$H$2:$H$21,MATCH($C$4,Dictionary!$A$2:$A$21,0)),"")</f>
        <v>enemy_count</v>
      </c>
    </row>
    <row r="18" customFormat="false" ht="27.75" hidden="false" customHeight="true" outlineLevel="0" collapsed="false">
      <c r="B18" s="16" t="s">
        <v>82</v>
      </c>
      <c r="C18" s="2" t="str">
        <f aca="false">IFERROR(INDEX(Dictionary!$I$2:$I$21,MATCH($C$4,Dictionary!$A$2:$A$21,0)),"")</f>
        <v>enemyIndex (deviates - see Notes)</v>
      </c>
    </row>
    <row r="19" customFormat="false" ht="27.75" hidden="false" customHeight="true" outlineLevel="0" collapsed="false">
      <c r="B19" s="16" t="s">
        <v>83</v>
      </c>
      <c r="C19" s="2" t="str">
        <f aca="false">IFERROR(INDEX(Dictionary!$J$2:$J$21,MATCH($C$4,Dictionary!$A$2:$A$21,0)),"")</f>
        <v>Index (native ForLoop pin - not a chosen variable)</v>
      </c>
    </row>
    <row r="20" customFormat="false" ht="27.75" hidden="false" customHeight="true" outlineLevel="0" collapsed="false">
      <c r="B20" s="16" t="s">
        <v>84</v>
      </c>
      <c r="C20" s="2" t="str">
        <f aca="false">IFERROR(INDEX(Dictionary!$K$2:$K$21,MATCH($C$4,Dictionary!$A$2:$A$21,0)),"")</f>
        <v>EnemyIndex</v>
      </c>
    </row>
    <row r="21" customFormat="false" ht="27.75" hidden="false" customHeight="true" outlineLevel="0" collapsed="false">
      <c r="B21" s="16" t="s">
        <v>85</v>
      </c>
      <c r="C21" s="2" t="str">
        <f aca="false">IFERROR(INDEX(Dictionary!$L$2:$L$21,MATCH($C$4,Dictionary!$A$2:$A$21,0)),"")</f>
        <v>Not yet audited</v>
      </c>
    </row>
    <row r="22" customFormat="false" ht="27.75" hidden="false" customHeight="true" outlineLevel="0" collapsed="false">
      <c r="B22" s="16" t="s">
        <v>86</v>
      </c>
      <c r="C22" s="2" t="str">
        <f aca="false">IFERROR(INDEX(Dictionary!$M$2:$M$21,MATCH($C$4,Dictionary!$A$2:$A$21,0)),"")</f>
        <v>Not yet audited (known to still use bare i as of last audit)</v>
      </c>
    </row>
    <row r="23" customFormat="false" ht="27.75" hidden="false" customHeight="true" outlineLevel="0" collapsed="false">
      <c r="B23" s="16" t="s">
        <v>87</v>
      </c>
      <c r="C23" s="2" t="str">
        <f aca="false">IFERROR(INDEX(Dictionary!$N$2:$N$21,MATCH($C$4,Dictionary!$A$2:$A$21,0)),"")</f>
        <v>Index (native ForLoop pin - not a chosen variable)</v>
      </c>
    </row>
    <row r="24" customFormat="false" ht="27.75" hidden="false" customHeight="true" outlineLevel="0" collapsed="false">
      <c r="B24" s="16" t="s">
        <v>88</v>
      </c>
      <c r="C24" s="2" t="str">
        <f aca="false">IFERROR(INDEX(Dictionary!$O$2:$O$21,MATCH($C$4,Dictionary!$A$2:$A$21,0)),"")</f>
        <v>EnemyCount</v>
      </c>
    </row>
    <row r="26" customFormat="false" ht="15" hidden="false" customHeight="false" outlineLevel="0" collapsed="false">
      <c r="B26" s="14" t="s">
        <v>89</v>
      </c>
      <c r="C26" s="14" t="str">
        <f aca="false">IFERROR(INDEX(Dictionary!$P$2:$P$21,MATCH($C$4,Dictionary!$A$2:$A$21,0)),"")</f>
        <v>Reconciliation Pending</v>
      </c>
    </row>
    <row r="28" customFormat="false" ht="90" hidden="false" customHeight="true" outlineLevel="0" collapsed="false">
      <c r="B28" s="16" t="s">
        <v>90</v>
      </c>
      <c r="C28" s="2" t="str">
        <f aca="false">IFERROR(INDEX(Dictionary!$Q$2:$Q$21,MATCH($C$4,Dictionary!$A$2:$A$21,0)),"")</f>
        <v>Winning word per Robert's explicit decision is "count" (enemy_count / EnemyCount) - reconciled across GameMaker, Godot, and Unreal's C++ track. Scratch (enemy_number) is queued for rename to match. Unity's enemyIndex deviates on purpose: Unity's EnemySpawner already has a public enemyCount field for the total-to-spawn, so reusing that name for the loop counter would shadow it - left as enemyIndex pending the Rule 12 coordinated pass. GDevelop's EnemyIndex is meaningful but a different underlying word ("index" vs. "count") - also queued for that same pass. Unity Visual Scripting's and Unreal Blueprint's "Index" are each engine's own fixed node-pin name, not something this course chose, so they're excluded from the word-choice reconciliation entirely.</v>
      </c>
    </row>
  </sheetData>
  <dataValidations count="1">
    <dataValidation allowBlank="true" errorStyle="stop" operator="between" showDropDown="false" showErrorMessage="false" showInputMessage="false" sqref="C4" type="list">
      <formula1>Dictionary!$A$2:$A$21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60"/>
  </cols>
  <sheetData>
    <row r="2" customFormat="false" ht="19.7" hidden="false" customHeight="false" outlineLevel="0" collapsed="false">
      <c r="B2" s="1" t="s">
        <v>91</v>
      </c>
    </row>
    <row r="4" customFormat="false" ht="15" hidden="false" customHeight="false" outlineLevel="0" collapsed="false">
      <c r="B4" s="14" t="s">
        <v>92</v>
      </c>
      <c r="C4" s="18" t="s">
        <v>16</v>
      </c>
    </row>
    <row r="6" customFormat="false" ht="21.75" hidden="false" customHeight="true" outlineLevel="0" collapsed="false">
      <c r="B6" s="5" t="s">
        <v>13</v>
      </c>
      <c r="C6" s="5" t="s">
        <v>14</v>
      </c>
      <c r="D6" s="5" t="s">
        <v>93</v>
      </c>
      <c r="E6" s="5" t="s">
        <v>28</v>
      </c>
    </row>
    <row r="7" customFormat="false" ht="45" hidden="false" customHeight="true" outlineLevel="0" collapsed="false">
      <c r="B7" s="7" t="str">
        <f aca="false">IF(Dictionary!$A$2="","",Dictionary!$B$2)</f>
        <v>Spawn Loop Counter</v>
      </c>
      <c r="C7" s="7" t="str">
        <f aca="false">IF($B7="","",Dictionary!$C$2)</f>
        <v>Variable</v>
      </c>
      <c r="D7" s="7" t="str">
        <f aca="false">IF($B7="","",IFERROR(INDEX(Dictionary!$E$2:$O$2,MATCH($C$4,Dictionary!$E$1:$O$1,0)),""))</f>
        <v>enemy_number (pending rename - see Notes)</v>
      </c>
      <c r="E7" s="7" t="str">
        <f aca="false">IF($B7="","",Dictionary!$Q$2)</f>
        <v>Winning word per Robert's explicit decision is "count" (enemy_count / EnemyCount) - reconciled across GameMaker, Godot, and Unreal's C++ track. Scratch (enemy_number) is queued for rename to match. Unity's enemyIndex deviates on purpose: Unity's EnemySpawner already has a public enemyCount field for the total-to-spawn, so reusing that name for the loop counter would shadow it - left as enemyIndex pending the Rule 12 coordinated pass. GDevelop's EnemyIndex is meaningful but a different underlying word ("index" vs. "count") - also queued for that same pass. Unity Visual Scripting's and Unreal Blueprint's "Index" are each engine's own fixed node-pin name, not something this course chose, so they're excluded from the word-choice reconciliation entirely.</v>
      </c>
    </row>
    <row r="8" customFormat="false" ht="45" hidden="false" customHeight="true" outlineLevel="0" collapsed="false">
      <c r="B8" s="10" t="str">
        <f aca="false">IF(Dictionary!$A$3="","",Dictionary!$B$3)</f>
        <v>Newly Spawned Enemy Reference</v>
      </c>
      <c r="C8" s="10" t="str">
        <f aca="false">IF($B8="","",Dictionary!$C$3)</f>
        <v>Variable</v>
      </c>
      <c r="D8" s="10" t="str">
        <f aca="false">IF($B8="","",IFERROR(INDEX(Dictionary!$E$3:$O$3,MATCH($C$4,Dictionary!$E$1:$O$1,0)),""))</f>
        <v>Not yet confirmed</v>
      </c>
      <c r="E8" s="10" t="str">
        <f aca="false">IF($B8="","",Dictionary!$Q$3)</f>
        <v>Godot, GameMaker, and Unity's C# track all promote the spawned instance to a named variable (new_enemy / newEnemy). Unity Visual Scripting, Unreal Blueprint, and Unreal C++ currently wire the result directly with no name at all - this is a structural inconsistency, not just a naming one (there's no variable to rename). Tracked under Standards Rule 12's coordinated pass; the Unreal Blueprint case is the one that originally surfaced this gap (see Book Notes &amp; To-Do).</v>
      </c>
    </row>
    <row r="9" customFormat="false" ht="45" hidden="false" customHeight="true" outlineLevel="0" collapsed="false">
      <c r="B9" s="7" t="str">
        <f aca="false">IF(Dictionary!$A$4="","",Dictionary!$B$4)</f>
        <v>Per-Frame Update Hook</v>
      </c>
      <c r="C9" s="7" t="str">
        <f aca="false">IF($B9="","",Dictionary!$C$4)</f>
        <v>Function / Event</v>
      </c>
      <c r="D9" s="7" t="str">
        <f aca="false">IF($B9="","",IFERROR(INDEX(Dictionary!$E$4:$O$4,MATCH($C$4,Dictionary!$E$1:$O$1,0)),""))</f>
        <v>"forever" loop block (no discrete named function)</v>
      </c>
      <c r="E9" s="7" t="str">
        <f aca="false">IF($B9="","",Dictionary!$Q$4)</f>
        <v>This is a case where "consistency" correctly does NOT mean "the same name everywhere": GDevelop and 001 Game Creator are architecturally event-driven/declarative and correctly have no per-frame hook at all - forcing one in would fight those engines' own idioms (Standards Rule 5). Included here as the model example of a concept where Rule 12's consistency goal doesn't apply, so a future contributor doesn't try to manufacture an equivalent that shouldn't exist.</v>
      </c>
    </row>
    <row r="10" customFormat="false" ht="45" hidden="false" customHeight="true" outlineLevel="0" collapsed="false">
      <c r="B10" s="10" t="str">
        <f aca="false">IF(Dictionary!$A$5="","",Dictionary!$B$5)</f>
        <v/>
      </c>
      <c r="C10" s="10" t="str">
        <f aca="false">IF($B10="","",Dictionary!$C$5)</f>
        <v/>
      </c>
      <c r="D10" s="10" t="str">
        <f aca="false">IF($B10="","",IFERROR(INDEX(Dictionary!$E$5:$O$5,MATCH($C$4,Dictionary!$E$1:$O$1,0)),""))</f>
        <v/>
      </c>
      <c r="E10" s="10" t="str">
        <f aca="false">IF($B10="","",Dictionary!$Q$5)</f>
        <v/>
      </c>
    </row>
    <row r="11" customFormat="false" ht="45" hidden="false" customHeight="true" outlineLevel="0" collapsed="false">
      <c r="B11" s="7" t="str">
        <f aca="false">IF(Dictionary!$A$6="","",Dictionary!$B$6)</f>
        <v/>
      </c>
      <c r="C11" s="7" t="str">
        <f aca="false">IF($B11="","",Dictionary!$C$6)</f>
        <v/>
      </c>
      <c r="D11" s="7" t="str">
        <f aca="false">IF($B11="","",IFERROR(INDEX(Dictionary!$E$6:$O$6,MATCH($C$4,Dictionary!$E$1:$O$1,0)),""))</f>
        <v/>
      </c>
      <c r="E11" s="7" t="str">
        <f aca="false">IF($B11="","",Dictionary!$Q$6)</f>
        <v/>
      </c>
    </row>
    <row r="12" customFormat="false" ht="45" hidden="false" customHeight="true" outlineLevel="0" collapsed="false">
      <c r="B12" s="10" t="str">
        <f aca="false">IF(Dictionary!$A$7="","",Dictionary!$B$7)</f>
        <v/>
      </c>
      <c r="C12" s="10" t="str">
        <f aca="false">IF($B12="","",Dictionary!$C$7)</f>
        <v/>
      </c>
      <c r="D12" s="10" t="str">
        <f aca="false">IF($B12="","",IFERROR(INDEX(Dictionary!$E$7:$O$7,MATCH($C$4,Dictionary!$E$1:$O$1,0)),""))</f>
        <v/>
      </c>
      <c r="E12" s="10" t="str">
        <f aca="false">IF($B12="","",Dictionary!$Q$7)</f>
        <v/>
      </c>
    </row>
    <row r="13" customFormat="false" ht="45" hidden="false" customHeight="true" outlineLevel="0" collapsed="false">
      <c r="B13" s="7" t="str">
        <f aca="false">IF(Dictionary!$A$8="","",Dictionary!$B$8)</f>
        <v/>
      </c>
      <c r="C13" s="7" t="str">
        <f aca="false">IF($B13="","",Dictionary!$C$8)</f>
        <v/>
      </c>
      <c r="D13" s="7" t="str">
        <f aca="false">IF($B13="","",IFERROR(INDEX(Dictionary!$E$8:$O$8,MATCH($C$4,Dictionary!$E$1:$O$1,0)),""))</f>
        <v/>
      </c>
      <c r="E13" s="7" t="str">
        <f aca="false">IF($B13="","",Dictionary!$Q$8)</f>
        <v/>
      </c>
    </row>
    <row r="14" customFormat="false" ht="45" hidden="false" customHeight="true" outlineLevel="0" collapsed="false">
      <c r="B14" s="10" t="str">
        <f aca="false">IF(Dictionary!$A$9="","",Dictionary!$B$9)</f>
        <v/>
      </c>
      <c r="C14" s="10" t="str">
        <f aca="false">IF($B14="","",Dictionary!$C$9)</f>
        <v/>
      </c>
      <c r="D14" s="10" t="str">
        <f aca="false">IF($B14="","",IFERROR(INDEX(Dictionary!$E$9:$O$9,MATCH($C$4,Dictionary!$E$1:$O$1,0)),""))</f>
        <v/>
      </c>
      <c r="E14" s="10" t="str">
        <f aca="false">IF($B14="","",Dictionary!$Q$9)</f>
        <v/>
      </c>
    </row>
    <row r="15" customFormat="false" ht="45" hidden="false" customHeight="true" outlineLevel="0" collapsed="false">
      <c r="B15" s="7" t="str">
        <f aca="false">IF(Dictionary!$A$10="","",Dictionary!$B$10)</f>
        <v/>
      </c>
      <c r="C15" s="7" t="str">
        <f aca="false">IF($B15="","",Dictionary!$C$10)</f>
        <v/>
      </c>
      <c r="D15" s="7" t="str">
        <f aca="false">IF($B15="","",IFERROR(INDEX(Dictionary!$E$10:$O$10,MATCH($C$4,Dictionary!$E$1:$O$1,0)),""))</f>
        <v/>
      </c>
      <c r="E15" s="7" t="str">
        <f aca="false">IF($B15="","",Dictionary!$Q$10)</f>
        <v/>
      </c>
    </row>
    <row r="16" customFormat="false" ht="45" hidden="false" customHeight="true" outlineLevel="0" collapsed="false">
      <c r="B16" s="10" t="str">
        <f aca="false">IF(Dictionary!$A$11="","",Dictionary!$B$11)</f>
        <v/>
      </c>
      <c r="C16" s="10" t="str">
        <f aca="false">IF($B16="","",Dictionary!$C$11)</f>
        <v/>
      </c>
      <c r="D16" s="10" t="str">
        <f aca="false">IF($B16="","",IFERROR(INDEX(Dictionary!$E$11:$O$11,MATCH($C$4,Dictionary!$E$1:$O$1,0)),""))</f>
        <v/>
      </c>
      <c r="E16" s="10" t="str">
        <f aca="false">IF($B16="","",Dictionary!$Q$11)</f>
        <v/>
      </c>
    </row>
    <row r="17" customFormat="false" ht="45" hidden="false" customHeight="true" outlineLevel="0" collapsed="false">
      <c r="B17" s="7" t="str">
        <f aca="false">IF(Dictionary!$A$12="","",Dictionary!$B$12)</f>
        <v/>
      </c>
      <c r="C17" s="7" t="str">
        <f aca="false">IF($B17="","",Dictionary!$C$12)</f>
        <v/>
      </c>
      <c r="D17" s="7" t="str">
        <f aca="false">IF($B17="","",IFERROR(INDEX(Dictionary!$E$12:$O$12,MATCH($C$4,Dictionary!$E$1:$O$1,0)),""))</f>
        <v/>
      </c>
      <c r="E17" s="7" t="str">
        <f aca="false">IF($B17="","",Dictionary!$Q$12)</f>
        <v/>
      </c>
    </row>
    <row r="18" customFormat="false" ht="45" hidden="false" customHeight="true" outlineLevel="0" collapsed="false">
      <c r="B18" s="10" t="str">
        <f aca="false">IF(Dictionary!$A$13="","",Dictionary!$B$13)</f>
        <v/>
      </c>
      <c r="C18" s="10" t="str">
        <f aca="false">IF($B18="","",Dictionary!$C$13)</f>
        <v/>
      </c>
      <c r="D18" s="10" t="str">
        <f aca="false">IF($B18="","",IFERROR(INDEX(Dictionary!$E$13:$O$13,MATCH($C$4,Dictionary!$E$1:$O$1,0)),""))</f>
        <v/>
      </c>
      <c r="E18" s="10" t="str">
        <f aca="false">IF($B18="","",Dictionary!$Q$13)</f>
        <v/>
      </c>
    </row>
    <row r="19" customFormat="false" ht="45" hidden="false" customHeight="true" outlineLevel="0" collapsed="false">
      <c r="B19" s="7" t="str">
        <f aca="false">IF(Dictionary!$A$14="","",Dictionary!$B$14)</f>
        <v/>
      </c>
      <c r="C19" s="7" t="str">
        <f aca="false">IF($B19="","",Dictionary!$C$14)</f>
        <v/>
      </c>
      <c r="D19" s="7" t="str">
        <f aca="false">IF($B19="","",IFERROR(INDEX(Dictionary!$E$14:$O$14,MATCH($C$4,Dictionary!$E$1:$O$1,0)),""))</f>
        <v/>
      </c>
      <c r="E19" s="7" t="str">
        <f aca="false">IF($B19="","",Dictionary!$Q$14)</f>
        <v/>
      </c>
    </row>
    <row r="20" customFormat="false" ht="45" hidden="false" customHeight="true" outlineLevel="0" collapsed="false">
      <c r="B20" s="10" t="str">
        <f aca="false">IF(Dictionary!$A$15="","",Dictionary!$B$15)</f>
        <v/>
      </c>
      <c r="C20" s="10" t="str">
        <f aca="false">IF($B20="","",Dictionary!$C$15)</f>
        <v/>
      </c>
      <c r="D20" s="10" t="str">
        <f aca="false">IF($B20="","",IFERROR(INDEX(Dictionary!$E$15:$O$15,MATCH($C$4,Dictionary!$E$1:$O$1,0)),""))</f>
        <v/>
      </c>
      <c r="E20" s="10" t="str">
        <f aca="false">IF($B20="","",Dictionary!$Q$15)</f>
        <v/>
      </c>
    </row>
    <row r="21" customFormat="false" ht="45" hidden="false" customHeight="true" outlineLevel="0" collapsed="false">
      <c r="B21" s="7" t="str">
        <f aca="false">IF(Dictionary!$A$16="","",Dictionary!$B$16)</f>
        <v/>
      </c>
      <c r="C21" s="7" t="str">
        <f aca="false">IF($B21="","",Dictionary!$C$16)</f>
        <v/>
      </c>
      <c r="D21" s="7" t="str">
        <f aca="false">IF($B21="","",IFERROR(INDEX(Dictionary!$E$16:$O$16,MATCH($C$4,Dictionary!$E$1:$O$1,0)),""))</f>
        <v/>
      </c>
      <c r="E21" s="7" t="str">
        <f aca="false">IF($B21="","",Dictionary!$Q$16)</f>
        <v/>
      </c>
    </row>
    <row r="22" customFormat="false" ht="45" hidden="false" customHeight="true" outlineLevel="0" collapsed="false">
      <c r="B22" s="10" t="str">
        <f aca="false">IF(Dictionary!$A$17="","",Dictionary!$B$17)</f>
        <v/>
      </c>
      <c r="C22" s="10" t="str">
        <f aca="false">IF($B22="","",Dictionary!$C$17)</f>
        <v/>
      </c>
      <c r="D22" s="10" t="str">
        <f aca="false">IF($B22="","",IFERROR(INDEX(Dictionary!$E$17:$O$17,MATCH($C$4,Dictionary!$E$1:$O$1,0)),""))</f>
        <v/>
      </c>
      <c r="E22" s="10" t="str">
        <f aca="false">IF($B22="","",Dictionary!$Q$17)</f>
        <v/>
      </c>
    </row>
    <row r="23" customFormat="false" ht="45" hidden="false" customHeight="true" outlineLevel="0" collapsed="false">
      <c r="B23" s="7" t="str">
        <f aca="false">IF(Dictionary!$A$18="","",Dictionary!$B$18)</f>
        <v/>
      </c>
      <c r="C23" s="7" t="str">
        <f aca="false">IF($B23="","",Dictionary!$C$18)</f>
        <v/>
      </c>
      <c r="D23" s="7" t="str">
        <f aca="false">IF($B23="","",IFERROR(INDEX(Dictionary!$E$18:$O$18,MATCH($C$4,Dictionary!$E$1:$O$1,0)),""))</f>
        <v/>
      </c>
      <c r="E23" s="7" t="str">
        <f aca="false">IF($B23="","",Dictionary!$Q$18)</f>
        <v/>
      </c>
    </row>
    <row r="24" customFormat="false" ht="45" hidden="false" customHeight="true" outlineLevel="0" collapsed="false">
      <c r="B24" s="10" t="str">
        <f aca="false">IF(Dictionary!$A$19="","",Dictionary!$B$19)</f>
        <v/>
      </c>
      <c r="C24" s="10" t="str">
        <f aca="false">IF($B24="","",Dictionary!$C$19)</f>
        <v/>
      </c>
      <c r="D24" s="10" t="str">
        <f aca="false">IF($B24="","",IFERROR(INDEX(Dictionary!$E$19:$O$19,MATCH($C$4,Dictionary!$E$1:$O$1,0)),""))</f>
        <v/>
      </c>
      <c r="E24" s="10" t="str">
        <f aca="false">IF($B24="","",Dictionary!$Q$19)</f>
        <v/>
      </c>
    </row>
    <row r="25" customFormat="false" ht="45" hidden="false" customHeight="true" outlineLevel="0" collapsed="false">
      <c r="B25" s="7" t="str">
        <f aca="false">IF(Dictionary!$A$20="","",Dictionary!$B$20)</f>
        <v/>
      </c>
      <c r="C25" s="7" t="str">
        <f aca="false">IF($B25="","",Dictionary!$C$20)</f>
        <v/>
      </c>
      <c r="D25" s="7" t="str">
        <f aca="false">IF($B25="","",IFERROR(INDEX(Dictionary!$E$20:$O$20,MATCH($C$4,Dictionary!$E$1:$O$1,0)),""))</f>
        <v/>
      </c>
      <c r="E25" s="7" t="str">
        <f aca="false">IF($B25="","",Dictionary!$Q$20)</f>
        <v/>
      </c>
    </row>
    <row r="26" customFormat="false" ht="45" hidden="false" customHeight="true" outlineLevel="0" collapsed="false">
      <c r="B26" s="10" t="str">
        <f aca="false">IF(Dictionary!$A$21="","",Dictionary!$B$21)</f>
        <v/>
      </c>
      <c r="C26" s="10" t="str">
        <f aca="false">IF($B26="","",Dictionary!$C$21)</f>
        <v/>
      </c>
      <c r="D26" s="10" t="str">
        <f aca="false">IF($B26="","",IFERROR(INDEX(Dictionary!$E$21:$O$21,MATCH($C$4,Dictionary!$E$1:$O$1,0)),""))</f>
        <v/>
      </c>
      <c r="E26" s="10" t="str">
        <f aca="false">IF($B26="","",Dictionary!$Q$21)</f>
        <v/>
      </c>
    </row>
  </sheetData>
  <dataValidations count="1">
    <dataValidation allowBlank="true" errorStyle="stop" operator="between" showDropDown="false" showErrorMessage="false" showInputMessage="false" sqref="C4" type="list">
      <formula1>Dictionary!$E$1:$O$1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2026-09-09T22:12:47Z</dcterms:created>
  <dc:creator>openpyxl</dc:creator>
  <dc:description/>
  <dc:language>en-US</dc:language>
  <cp:lastModifiedBy/>
  <dcterms:modified xsi:type="dcterms:W3CDTF">2026-09-09T22:12:47Z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