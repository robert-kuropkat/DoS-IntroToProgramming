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0-Lesson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<sst xmlns="http://schemas.openxmlformats.org/spreadsheetml/2006/main" count="201" uniqueCount="136">
  <si>
    <t xml:space="preserve">Semester 1 Start (Lesson 1)</t>
  </si>
  <si>
    <t xml:space="preserve">2026-08-13</t>
  </si>
  <si>
    <t xml:space="preserve">Semester 2 Start (Lesson 16)</t>
  </si>
  <si>
    <t xml:space="preserve">2027-01-07</t>
  </si>
  <si>
    <t xml:space="preserve">Note</t>
  </si>
  <si>
    <t xml:space="preserve">Dates are weekly placeholders skipping typical Thanksgiving/winter break; confirm against the actual SLHE co-op calendar. Style Balance Note: Featured engines are chosen so that, across the year, Block-based (Scratch), Visual/node-based (GDevelop, GameMaker GML Visual, Unity Visual Scripting, 001 Game Creator, Unreal Blueprints), and Scripting/text-based (Godot, GameMaker GML, Unity C#, TIC-80) approaches get roughly equal lecture-demo airtime. See Engine &amp; Platform Guide &gt; Hybrid Engines: Switching Between Styles for what's gained/lost moving between a hybrid engine's two modes.</t>
  </si>
  <si>
    <t xml:space="preserve">Lesson #</t>
  </si>
  <si>
    <t xml:space="preserve">Semester</t>
  </si>
  <si>
    <t xml:space="preserve">Date</t>
  </si>
  <si>
    <t xml:space="preserve">Unit / Topic</t>
  </si>
  <si>
    <t xml:space="preserve">Featured Engine (Lecture Demo)</t>
  </si>
  <si>
    <t xml:space="preserve">Lecture Focus</t>
  </si>
  <si>
    <t xml:space="preserve">Lab Activity</t>
  </si>
  <si>
    <t xml:space="preserve">Milestone / Notes</t>
  </si>
  <si>
    <t xml:space="preserve">Coding Style (Lecture Demo)</t>
  </si>
  <si>
    <t xml:space="preserve">Semester 1</t>
  </si>
  <si>
    <t xml:space="preserve">Orientation</t>
  </si>
  <si>
    <t xml:space="preserve">N/A - Overview</t>
  </si>
  <si>
    <t xml:space="preserve">Internet safety (NetSmartz), what is game development, tour of engine options</t>
  </si>
  <si>
    <t xml:space="preserve">Create accounts / begin installing chosen engine(s); browser-try Scratch and GDevelop</t>
  </si>
  <si>
    <t xml:space="preserve">Everyone leaves lab time with at least one engine installed or running in-browser</t>
  </si>
  <si>
    <t xml:space="preserve">Preview of all 3 styles across all 8 engines (Live Demo Tour)</t>
  </si>
  <si>
    <t xml:space="preserve">Programming Basics I</t>
  </si>
  <si>
    <t xml:space="preserve">Scratch</t>
  </si>
  <si>
    <t xml:space="preserve">Sequences, events, and the game loop</t>
  </si>
  <si>
    <t xml:space="preserve">Build a 'sprite reacts to a key press' mini-exercise in your chosen engine</t>
  </si>
  <si>
    <t xml:space="preserve">Block</t>
  </si>
  <si>
    <t xml:space="preserve">Variables &amp; Data</t>
  </si>
  <si>
    <t xml:space="preserve">GDevelop</t>
  </si>
  <si>
    <t xml:space="preserve">What a variable is; storing and changing data</t>
  </si>
  <si>
    <t xml:space="preserve">Add a score or counter variable to last week's exercise</t>
  </si>
  <si>
    <t xml:space="preserve">Visual</t>
  </si>
  <si>
    <t xml:space="preserve">Input &amp; Player Control</t>
  </si>
  <si>
    <t xml:space="preserve">Godot</t>
  </si>
  <si>
    <t xml:space="preserve">Reading keyboard/controller input; moving a character</t>
  </si>
  <si>
    <t xml:space="preserve">Build a controllable character (4-directional or platformer movement)</t>
  </si>
  <si>
    <t xml:space="preserve">Scripting</t>
  </si>
  <si>
    <t xml:space="preserve">Conditionals &amp; Decision Logic</t>
  </si>
  <si>
    <t xml:space="preserve">GameMaker (GML Visual)</t>
  </si>
  <si>
    <t xml:space="preserve">If/else logic; comparing values</t>
  </si>
  <si>
    <t xml:space="preserve">Add boundary checks / simple rules to character movement</t>
  </si>
  <si>
    <t xml:space="preserve">Loops &amp; Repetition</t>
  </si>
  <si>
    <t xml:space="preserve">For/while loops; spawning or repeating actions</t>
  </si>
  <si>
    <t xml:space="preserve">Spawn multiple objects (coins, enemies, obstacles) using a loop</t>
  </si>
  <si>
    <t xml:space="preserve">Collision &amp; Physics Basics</t>
  </si>
  <si>
    <t xml:space="preserve">Unity (Visual Scripting)</t>
  </si>
  <si>
    <t xml:space="preserve">Detecting collisions; basic physics bodies</t>
  </si>
  <si>
    <t xml:space="preserve">Character collects an object or bumps into an obstacle</t>
  </si>
  <si>
    <t xml:space="preserve">Sprites, Animation &amp; Art Pipeline</t>
  </si>
  <si>
    <t xml:space="preserve">TIC-80</t>
  </si>
  <si>
    <t xml:space="preserve">Importing art; simple frame animation; the art-to-engine pipeline</t>
  </si>
  <si>
    <t xml:space="preserve">Animate the player character (idle/run) using free or student-made art</t>
  </si>
  <si>
    <t xml:space="preserve">Game State: Score &amp; Health</t>
  </si>
  <si>
    <t xml:space="preserve">GameMaker (GML text)</t>
  </si>
  <si>
    <t xml:space="preserve">Tracking and displaying score/health as game state</t>
  </si>
  <si>
    <t xml:space="preserve">Wire up a visible score or health counter</t>
  </si>
  <si>
    <t xml:space="preserve">Style Spotlight: same engine as Lesson 5, now in GML text mode - see Engine Guide's Hybrid Switching section for what converting from GML Visual costs you.</t>
  </si>
  <si>
    <t xml:space="preserve">Win / Lose Conditions</t>
  </si>
  <si>
    <t xml:space="preserve">Designing clear win and lose states</t>
  </si>
  <si>
    <t xml:space="preserve">Add a win condition and a lose condition to your prototype</t>
  </si>
  <si>
    <t xml:space="preserve">Sound &amp; Music Basics</t>
  </si>
  <si>
    <t xml:space="preserve">Adding sound effects and background music; free/legal audio sources</t>
  </si>
  <si>
    <t xml:space="preserve">Add at least one sound effect and one music track</t>
  </si>
  <si>
    <t xml:space="preserve">Simple UI / HUD</t>
  </si>
  <si>
    <t xml:space="preserve">Unity (C#)</t>
  </si>
  <si>
    <t xml:space="preserve">Building an on-screen menu or heads-up display</t>
  </si>
  <si>
    <t xml:space="preserve">Add a title screen or in-game HUD</t>
  </si>
  <si>
    <t xml:space="preserve">Style Spotlight: same engine as Lesson 7, now in C# mode - see Engine Guide's Hybrid Switching section.</t>
  </si>
  <si>
    <t xml:space="preserve">Playtesting &amp; Iteration</t>
  </si>
  <si>
    <t xml:space="preserve">N/A - Discussion/Design Focus</t>
  </si>
  <si>
    <t xml:space="preserve">Game design fundamentals: playtesting, feedback, iterating on fun</t>
  </si>
  <si>
    <t xml:space="preserve">Playtest a classmate's game and give structured feedback</t>
  </si>
  <si>
    <t xml:space="preserve">N/A - design process, not a coding demo</t>
  </si>
  <si>
    <t xml:space="preserve">Polish Pass: Game Feel</t>
  </si>
  <si>
    <t xml:space="preserve">001 Game Creator</t>
  </si>
  <si>
    <t xml:space="preserve">'Juice': screen shake, feedback, timing, small touches that improve feel - demoed using 001 Game Creator (Windows-only students) with a parallel example for everyone else</t>
  </si>
  <si>
    <t xml:space="preserve">Apply 2-3 polish touches to your prototype</t>
  </si>
  <si>
    <t xml:space="preserve">Semester 1 Showcase</t>
  </si>
  <si>
    <t xml:space="preserve">Student's Choice</t>
  </si>
  <si>
    <t xml:space="preserve">Present your mini-game to the class</t>
  </si>
  <si>
    <t xml:space="preserve">Final touches and rehearsal for showcase</t>
  </si>
  <si>
    <t xml:space="preserve">MILESTONE: Semester 1 mini-game complete</t>
  </si>
  <si>
    <t xml:space="preserve">Student's choice (whichever style their engine uses)</t>
  </si>
  <si>
    <t xml:space="preserve">Semester 2</t>
  </si>
  <si>
    <t xml:space="preserve">State Machines &amp; Enemy Behavior</t>
  </si>
  <si>
    <t xml:space="preserve">Introduction to state machines for character/enemy behavior</t>
  </si>
  <si>
    <t xml:space="preserve">Give an enemy or NPC at least two behavior states</t>
  </si>
  <si>
    <t xml:space="preserve">Basic AI: Patrol, Chase, Flee</t>
  </si>
  <si>
    <t xml:space="preserve">Simple AI patterns for enemies or companions</t>
  </si>
  <si>
    <t xml:space="preserve">Implement a patrolling or chasing enemy</t>
  </si>
  <si>
    <t xml:space="preserve">Advanced Physics &amp; Forces</t>
  </si>
  <si>
    <t xml:space="preserve">Gravity, forces, momentum, springs/bounces</t>
  </si>
  <si>
    <t xml:space="preserve">Add a physics-driven mechanic (jump arc, knockback, etc.)</t>
  </si>
  <si>
    <t xml:space="preserve">Level / Scene Structure</t>
  </si>
  <si>
    <t xml:space="preserve">Organizing a game into levels/scenes and transitioning between them</t>
  </si>
  <si>
    <t xml:space="preserve">Build a second level and a transition between levels</t>
  </si>
  <si>
    <t xml:space="preserve">Menus, Settings &amp; Save Data</t>
  </si>
  <si>
    <t xml:space="preserve">Main menus, pause menus, and saving/loading progress</t>
  </si>
  <si>
    <t xml:space="preserve">Add a functional main menu and (if time) basic save/load</t>
  </si>
  <si>
    <t xml:space="preserve">Multiple Levels &amp; Progression</t>
  </si>
  <si>
    <t xml:space="preserve">Designing a sense of progression across levels or difficulty</t>
  </si>
  <si>
    <t xml:space="preserve">Expand your capstone toward 2-3 levels or a difficulty curve</t>
  </si>
  <si>
    <t xml:space="preserve">Particle Effects &amp; Visual Polish</t>
  </si>
  <si>
    <t xml:space="preserve">Particle systems and visual feedback effects</t>
  </si>
  <si>
    <t xml:space="preserve">Add a particle effect (explosion, sparkle, trail, etc.)</t>
  </si>
  <si>
    <t xml:space="preserve">Advanced UI &amp; Accessibility</t>
  </si>
  <si>
    <t xml:space="preserve">Menus, settings, and basic accessibility considerations (color, controls, readability); demoed using 001 Game Creator's built-in Interface/HUD Designer (Windows-only students) with a parallel example for everyone else</t>
  </si>
  <si>
    <t xml:space="preserve">Add a settings/options menu with at least one accessibility option</t>
  </si>
  <si>
    <t xml:space="preserve">Multiplayer Concepts &amp; Online Safety</t>
  </si>
  <si>
    <t xml:space="preserve">Scratch / TIC-80</t>
  </si>
  <si>
    <t xml:space="preserve">Local co-op or turn-based multiplayer concepts; revisit online safety for any networked or shared features</t>
  </si>
  <si>
    <t xml:space="preserve">Prototype a local 2-player mechanic, or extend single-player scope</t>
  </si>
  <si>
    <t xml:space="preserve">Block + Scripting</t>
  </si>
  <si>
    <t xml:space="preserve">Optional Track: Unreal Blueprints</t>
  </si>
  <si>
    <t xml:space="preserve">Unreal Engine (optional)</t>
  </si>
  <si>
    <t xml:space="preserve">Intro to visual scripting in Unreal for students with capable hardware; all others continue capstone work</t>
  </si>
  <si>
    <t xml:space="preserve">Unreal: Blueprints mini-exercise. Others: continue capstone build</t>
  </si>
  <si>
    <t xml:space="preserve">Optional/elective session</t>
  </si>
  <si>
    <t xml:space="preserve">Visual (Blueprints) - optional/advanced track</t>
  </si>
  <si>
    <t xml:space="preserve">Capstone Work Session</t>
  </si>
  <si>
    <t xml:space="preserve">Open work session - feature-complete push on the capstone game</t>
  </si>
  <si>
    <t xml:space="preserve">Focused build time with instructor support</t>
  </si>
  <si>
    <t xml:space="preserve">Student's choice</t>
  </si>
  <si>
    <t xml:space="preserve">Playtesting Workshop</t>
  </si>
  <si>
    <t xml:space="preserve">Structured peer playtesting and feedback</t>
  </si>
  <si>
    <t xml:space="preserve">Playtest at least two classmates' games; collect feedback on your own</t>
  </si>
  <si>
    <t xml:space="preserve">Bug-Fixing, Balancing &amp; Polish</t>
  </si>
  <si>
    <t xml:space="preserve">Triage feedback; fix bugs; balance difficulty</t>
  </si>
  <si>
    <t xml:space="preserve">Address top playtesting issues</t>
  </si>
  <si>
    <t xml:space="preserve">Packaging &amp; Exporting</t>
  </si>
  <si>
    <t xml:space="preserve">Exporting a shareable build for your engine (desktop build, web export, or share link)</t>
  </si>
  <si>
    <t xml:space="preserve">Produce a shareable build/link of your finished game</t>
  </si>
  <si>
    <t xml:space="preserve">CoOp Expo Prep &amp; Final Showcase</t>
  </si>
  <si>
    <t xml:space="preserve">Pitch practice, demo flow, presenting your game to an audience</t>
  </si>
  <si>
    <t xml:space="preserve">Final rehearsal and class showcase</t>
  </si>
  <si>
    <t xml:space="preserve">MILESTONE: Shareable build ready for CoOp Expo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</si>
</sst>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 d&quot;, &quot;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C8A"/>
        <bgColor rgb="FF666699"/>
      </patternFill>
    </fill>
    <fill>
      <patternFill patternType="solid">
        <fgColor rgb="FFF3F6FA"/>
        <bgColor rgb="FFFFFFFF"/>
      </patternFill>
    </fill>
    <fill>
      <patternFill patternType="solid">
        <fgColor rgb="FFFFFFFF"/>
        <bgColor rgb="FFF3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3F6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G11" activeCellId="0" sqref="G1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.42"/>
    <col collapsed="false" customWidth="true" hidden="false" outlineLevel="0" max="3" min="3" style="0" width="13.42"/>
    <col collapsed="false" customWidth="true" hidden="false" outlineLevel="0" max="4" min="4" style="0" width="46"/>
    <col collapsed="false" customWidth="true" hidden="false" outlineLevel="0" max="5" min="5" style="0" width="24"/>
    <col collapsed="false" customWidth="true" hidden="false" outlineLevel="0" max="7" min="6" style="0" width="34"/>
    <col collapsed="false" customWidth="true" hidden="false" outlineLevel="0" max="8" min="8" style="0" width="26"/>
  </cols>
  <sheetData>
    <row r="1" customFormat="false" ht="15" hidden="false" customHeight="false" outlineLevel="0" collapsed="false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 customFormat="false" ht="15" hidden="false" customHeight="false" outlineLevel="0" collapsed="false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 customFormat="false" ht="30" hidden="false" customHeight="true" outlineLevel="0" collapsed="false">
      <c r="A3" s="1" t="s">
        <v>4</v>
      </c>
      <c r="B3" s="4" t="s">
        <v>5</v>
      </c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25.5" hidden="false" customHeight="true" outlineLevel="0" collapsed="false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5" t="s">
        <v>13</v>
      </c>
      <c r="I5" s="0" t="s">
        <v>14</v>
      </c>
    </row>
    <row r="6" customFormat="false" ht="57" hidden="false" customHeight="true" outlineLevel="0" collapsed="false">
      <c r="A6" s="6" t="n">
        <v>1</v>
      </c>
      <c r="B6" s="7" t="s">
        <v>15</v>
      </c>
      <c r="C6" s="8" t="n">
        <f aca="false">$B$1+7*(1-1)</f>
        <v>46247</v>
      </c>
      <c r="D6" s="7" t="s">
        <v>16</v>
      </c>
      <c r="E6" s="7" t="s">
        <v>17</v>
      </c>
      <c r="F6" s="7" t="s">
        <v>18</v>
      </c>
      <c r="G6" s="7" t="s">
        <v>19</v>
      </c>
      <c r="H6" s="7" t="s">
        <v>20</v>
      </c>
      <c r="I6" s="0" t="s">
        <v>21</v>
      </c>
    </row>
    <row r="7" customFormat="false" ht="42.75" hidden="false" customHeight="true" outlineLevel="0" collapsed="false">
      <c r="A7" s="9" t="n">
        <v>2</v>
      </c>
      <c r="B7" s="10" t="s">
        <v>15</v>
      </c>
      <c r="C7" s="11" t="n">
        <f aca="false">$B$1+7*(2-1)</f>
        <v>46254</v>
      </c>
      <c r="D7" s="10" t="s">
        <v>22</v>
      </c>
      <c r="E7" s="10" t="s">
        <v>23</v>
      </c>
      <c r="F7" s="10" t="s">
        <v>24</v>
      </c>
      <c r="G7" s="10" t="s">
        <v>25</v>
      </c>
      <c r="H7" s="10"/>
      <c r="I7" s="0" t="s">
        <v>26</v>
      </c>
    </row>
    <row r="8" customFormat="false" ht="28.5" hidden="false" customHeight="true" outlineLevel="0" collapsed="false">
      <c r="A8" s="6" t="n">
        <v>3</v>
      </c>
      <c r="B8" s="7" t="s">
        <v>15</v>
      </c>
      <c r="C8" s="8" t="n">
        <f aca="false">$B$1+7*(3-1)</f>
        <v>46261</v>
      </c>
      <c r="D8" s="7" t="s">
        <v>27</v>
      </c>
      <c r="E8" s="7" t="s">
        <v>28</v>
      </c>
      <c r="F8" s="7" t="s">
        <v>29</v>
      </c>
      <c r="G8" s="7" t="s">
        <v>30</v>
      </c>
      <c r="H8" s="7"/>
      <c r="I8" s="0" t="s">
        <v>31</v>
      </c>
    </row>
    <row r="9" customFormat="false" ht="42.75" hidden="false" customHeight="true" outlineLevel="0" collapsed="false">
      <c r="A9" s="9" t="n">
        <v>4</v>
      </c>
      <c r="B9" s="10" t="s">
        <v>15</v>
      </c>
      <c r="C9" s="11" t="n">
        <f aca="false">$B$1+7*(4-1)</f>
        <v>46268</v>
      </c>
      <c r="D9" s="10" t="s">
        <v>32</v>
      </c>
      <c r="E9" s="10" t="s">
        <v>33</v>
      </c>
      <c r="F9" s="10" t="s">
        <v>34</v>
      </c>
      <c r="G9" s="10" t="s">
        <v>35</v>
      </c>
      <c r="H9" s="10"/>
      <c r="I9" s="0" t="s">
        <v>36</v>
      </c>
    </row>
    <row r="10" customFormat="false" ht="28.5" hidden="false" customHeight="true" outlineLevel="0" collapsed="false">
      <c r="A10" s="6" t="n">
        <v>5</v>
      </c>
      <c r="B10" s="7" t="s">
        <v>15</v>
      </c>
      <c r="C10" s="8" t="n">
        <f aca="false">$B$1+7*(5-1)</f>
        <v>46275</v>
      </c>
      <c r="D10" s="7" t="s">
        <v>37</v>
      </c>
      <c r="E10" s="7" t="s">
        <v>38</v>
      </c>
      <c r="F10" s="7" t="s">
        <v>39</v>
      </c>
      <c r="G10" s="7" t="s">
        <v>40</v>
      </c>
      <c r="H10" s="7"/>
      <c r="I10" s="0" t="s">
        <v>31</v>
      </c>
    </row>
    <row r="11" customFormat="false" ht="28.5" hidden="false" customHeight="true" outlineLevel="0" collapsed="false">
      <c r="A11" s="9" t="n">
        <v>6</v>
      </c>
      <c r="B11" s="10" t="s">
        <v>15</v>
      </c>
      <c r="C11" s="11" t="n">
        <f aca="false">$B$1+7*(6-1)</f>
        <v>46282</v>
      </c>
      <c r="D11" s="10" t="s">
        <v>41</v>
      </c>
      <c r="E11" s="10" t="s">
        <v>23</v>
      </c>
      <c r="F11" s="10" t="s">
        <v>42</v>
      </c>
      <c r="G11" s="10" t="s">
        <v>43</v>
      </c>
      <c r="H11" s="10"/>
      <c r="I11" s="0" t="s">
        <v>26</v>
      </c>
    </row>
    <row r="12" customFormat="false" ht="28.5" hidden="false" customHeight="true" outlineLevel="0" collapsed="false">
      <c r="A12" s="6" t="n">
        <v>7</v>
      </c>
      <c r="B12" s="7" t="s">
        <v>15</v>
      </c>
      <c r="C12" s="8" t="n">
        <f aca="false">$B$1+7*(7-1)</f>
        <v>46289</v>
      </c>
      <c r="D12" s="7" t="s">
        <v>44</v>
      </c>
      <c r="E12" s="7" t="s">
        <v>45</v>
      </c>
      <c r="F12" s="7" t="s">
        <v>46</v>
      </c>
      <c r="G12" s="7" t="s">
        <v>47</v>
      </c>
      <c r="H12" s="7"/>
      <c r="I12" s="0" t="s">
        <v>31</v>
      </c>
    </row>
    <row r="13" customFormat="false" ht="42.75" hidden="false" customHeight="true" outlineLevel="0" collapsed="false">
      <c r="A13" s="9" t="n">
        <v>8</v>
      </c>
      <c r="B13" s="10" t="s">
        <v>15</v>
      </c>
      <c r="C13" s="11" t="n">
        <f aca="false">$B$1+7*(8-1)</f>
        <v>46296</v>
      </c>
      <c r="D13" s="10" t="s">
        <v>48</v>
      </c>
      <c r="E13" s="10" t="s">
        <v>49</v>
      </c>
      <c r="F13" s="10" t="s">
        <v>50</v>
      </c>
      <c r="G13" s="10" t="s">
        <v>51</v>
      </c>
      <c r="H13" s="10"/>
      <c r="I13" s="0" t="s">
        <v>36</v>
      </c>
    </row>
    <row r="14" customFormat="false" ht="28.5" hidden="false" customHeight="true" outlineLevel="0" collapsed="false">
      <c r="A14" s="6" t="n">
        <v>9</v>
      </c>
      <c r="B14" s="7" t="s">
        <v>15</v>
      </c>
      <c r="C14" s="8" t="n">
        <f aca="false">$B$1+7*(9-1)</f>
        <v>46303</v>
      </c>
      <c r="D14" s="7" t="s">
        <v>52</v>
      </c>
      <c r="E14" s="7" t="s">
        <v>53</v>
      </c>
      <c r="F14" s="7" t="s">
        <v>54</v>
      </c>
      <c r="G14" s="7" t="s">
        <v>55</v>
      </c>
      <c r="H14" s="7" t="s">
        <v>56</v>
      </c>
      <c r="I14" s="0" t="s">
        <v>36</v>
      </c>
    </row>
    <row r="15" customFormat="false" ht="28.5" hidden="false" customHeight="true" outlineLevel="0" collapsed="false">
      <c r="A15" s="9" t="n">
        <v>10</v>
      </c>
      <c r="B15" s="10" t="s">
        <v>15</v>
      </c>
      <c r="C15" s="11" t="n">
        <f aca="false">$B$1+7*(10-1)</f>
        <v>46310</v>
      </c>
      <c r="D15" s="10" t="s">
        <v>57</v>
      </c>
      <c r="E15" s="10" t="s">
        <v>23</v>
      </c>
      <c r="F15" s="10" t="s">
        <v>58</v>
      </c>
      <c r="G15" s="10" t="s">
        <v>59</v>
      </c>
      <c r="H15" s="10"/>
      <c r="I15" s="0" t="s">
        <v>26</v>
      </c>
    </row>
    <row r="16" customFormat="false" ht="42.75" hidden="false" customHeight="true" outlineLevel="0" collapsed="false">
      <c r="A16" s="6" t="n">
        <v>11</v>
      </c>
      <c r="B16" s="7" t="s">
        <v>15</v>
      </c>
      <c r="C16" s="8" t="n">
        <f aca="false">$B$1+7*(11-1)</f>
        <v>46317</v>
      </c>
      <c r="D16" s="7" t="s">
        <v>60</v>
      </c>
      <c r="E16" s="7" t="s">
        <v>23</v>
      </c>
      <c r="F16" s="7" t="s">
        <v>61</v>
      </c>
      <c r="G16" s="7" t="s">
        <v>62</v>
      </c>
      <c r="H16" s="7"/>
      <c r="I16" s="0" t="s">
        <v>26</v>
      </c>
    </row>
    <row r="17" customFormat="false" ht="28.5" hidden="false" customHeight="true" outlineLevel="0" collapsed="false">
      <c r="A17" s="9" t="n">
        <v>12</v>
      </c>
      <c r="B17" s="10" t="s">
        <v>15</v>
      </c>
      <c r="C17" s="11" t="n">
        <f aca="false">$B$1+7*(12-1)</f>
        <v>46324</v>
      </c>
      <c r="D17" s="10" t="s">
        <v>63</v>
      </c>
      <c r="E17" s="10" t="s">
        <v>64</v>
      </c>
      <c r="F17" s="10" t="s">
        <v>65</v>
      </c>
      <c r="G17" s="10" t="s">
        <v>66</v>
      </c>
      <c r="H17" s="10" t="s">
        <v>67</v>
      </c>
      <c r="I17" s="0" t="s">
        <v>36</v>
      </c>
    </row>
    <row r="18" customFormat="false" ht="42.75" hidden="false" customHeight="true" outlineLevel="0" collapsed="false">
      <c r="A18" s="6" t="n">
        <v>13</v>
      </c>
      <c r="B18" s="7" t="s">
        <v>15</v>
      </c>
      <c r="C18" s="8" t="n">
        <f aca="false">$B$1+7*(13-1)</f>
        <v>46331</v>
      </c>
      <c r="D18" s="7" t="s">
        <v>68</v>
      </c>
      <c r="E18" s="7" t="s">
        <v>69</v>
      </c>
      <c r="F18" s="7" t="s">
        <v>70</v>
      </c>
      <c r="G18" s="7" t="s">
        <v>71</v>
      </c>
      <c r="H18" s="7"/>
      <c r="I18" s="0" t="s">
        <v>72</v>
      </c>
    </row>
    <row r="19" customFormat="false" ht="42.75" hidden="false" customHeight="true" outlineLevel="0" collapsed="false">
      <c r="A19" s="9" t="n">
        <v>14</v>
      </c>
      <c r="B19" s="10" t="s">
        <v>15</v>
      </c>
      <c r="C19" s="11" t="n">
        <f aca="false">$B$1+7*(14-1)</f>
        <v>46338</v>
      </c>
      <c r="D19" s="10" t="s">
        <v>73</v>
      </c>
      <c r="E19" s="10" t="s">
        <v>74</v>
      </c>
      <c r="F19" s="10" t="s">
        <v>75</v>
      </c>
      <c r="G19" s="10" t="s">
        <v>76</v>
      </c>
      <c r="H19" s="10"/>
      <c r="I19" s="0" t="s">
        <v>31</v>
      </c>
    </row>
    <row r="20" customFormat="false" ht="28.5" hidden="false" customHeight="true" outlineLevel="0" collapsed="false">
      <c r="A20" s="6" t="n">
        <v>15</v>
      </c>
      <c r="B20" s="7" t="s">
        <v>15</v>
      </c>
      <c r="C20" s="8" t="n">
        <f aca="false">$B$1+7*(15-1)</f>
        <v>46345</v>
      </c>
      <c r="D20" s="7" t="s">
        <v>77</v>
      </c>
      <c r="E20" s="7" t="s">
        <v>78</v>
      </c>
      <c r="F20" s="7" t="s">
        <v>79</v>
      </c>
      <c r="G20" s="7" t="s">
        <v>80</v>
      </c>
      <c r="H20" s="7" t="s">
        <v>81</v>
      </c>
      <c r="I20" s="0" t="s">
        <v>82</v>
      </c>
    </row>
    <row r="21" customFormat="false" ht="28.5" hidden="false" customHeight="true" outlineLevel="0" collapsed="false">
      <c r="A21" s="9" t="n">
        <v>16</v>
      </c>
      <c r="B21" s="10" t="s">
        <v>83</v>
      </c>
      <c r="C21" s="11" t="n">
        <f aca="false">$B$2+7*(16-16)</f>
        <v>46394</v>
      </c>
      <c r="D21" s="10" t="s">
        <v>84</v>
      </c>
      <c r="E21" s="10" t="s">
        <v>33</v>
      </c>
      <c r="F21" s="10" t="s">
        <v>85</v>
      </c>
      <c r="G21" s="10" t="s">
        <v>86</v>
      </c>
      <c r="H21" s="10"/>
      <c r="I21" s="0" t="s">
        <v>36</v>
      </c>
    </row>
    <row r="22" customFormat="false" ht="28.5" hidden="false" customHeight="true" outlineLevel="0" collapsed="false">
      <c r="A22" s="6" t="n">
        <v>17</v>
      </c>
      <c r="B22" s="7" t="s">
        <v>83</v>
      </c>
      <c r="C22" s="8" t="n">
        <f aca="false">$B$2+7*(17-16)</f>
        <v>46401</v>
      </c>
      <c r="D22" s="7" t="s">
        <v>87</v>
      </c>
      <c r="E22" s="7" t="s">
        <v>23</v>
      </c>
      <c r="F22" s="7" t="s">
        <v>88</v>
      </c>
      <c r="G22" s="7" t="s">
        <v>89</v>
      </c>
      <c r="H22" s="7"/>
      <c r="I22" s="0" t="s">
        <v>26</v>
      </c>
    </row>
    <row r="23" customFormat="false" ht="28.5" hidden="false" customHeight="true" outlineLevel="0" collapsed="false">
      <c r="A23" s="9" t="n">
        <v>18</v>
      </c>
      <c r="B23" s="10" t="s">
        <v>83</v>
      </c>
      <c r="C23" s="11" t="n">
        <f aca="false">$B$2+7*(18-16)</f>
        <v>46408</v>
      </c>
      <c r="D23" s="10" t="s">
        <v>90</v>
      </c>
      <c r="E23" s="10" t="s">
        <v>33</v>
      </c>
      <c r="F23" s="10" t="s">
        <v>91</v>
      </c>
      <c r="G23" s="10" t="s">
        <v>92</v>
      </c>
      <c r="H23" s="10"/>
      <c r="I23" s="0" t="s">
        <v>36</v>
      </c>
    </row>
    <row r="24" customFormat="false" ht="42.75" hidden="false" customHeight="true" outlineLevel="0" collapsed="false">
      <c r="A24" s="6" t="n">
        <v>19</v>
      </c>
      <c r="B24" s="7" t="s">
        <v>83</v>
      </c>
      <c r="C24" s="8" t="n">
        <f aca="false">$B$2+7*(19-16)</f>
        <v>46415</v>
      </c>
      <c r="D24" s="7" t="s">
        <v>93</v>
      </c>
      <c r="E24" s="7" t="s">
        <v>38</v>
      </c>
      <c r="F24" s="7" t="s">
        <v>94</v>
      </c>
      <c r="G24" s="7" t="s">
        <v>95</v>
      </c>
      <c r="H24" s="7"/>
      <c r="I24" s="0" t="s">
        <v>31</v>
      </c>
    </row>
    <row r="25" customFormat="false" ht="28.5" hidden="false" customHeight="true" outlineLevel="0" collapsed="false">
      <c r="A25" s="9" t="n">
        <v>20</v>
      </c>
      <c r="B25" s="10" t="s">
        <v>83</v>
      </c>
      <c r="C25" s="11" t="n">
        <f aca="false">$B$2+7*(20-16)</f>
        <v>46422</v>
      </c>
      <c r="D25" s="10" t="s">
        <v>96</v>
      </c>
      <c r="E25" s="10" t="s">
        <v>64</v>
      </c>
      <c r="F25" s="10" t="s">
        <v>97</v>
      </c>
      <c r="G25" s="10" t="s">
        <v>98</v>
      </c>
      <c r="H25" s="10"/>
      <c r="I25" s="0" t="s">
        <v>36</v>
      </c>
    </row>
    <row r="26" customFormat="false" ht="28.5" hidden="false" customHeight="true" outlineLevel="0" collapsed="false">
      <c r="A26" s="6" t="n">
        <v>21</v>
      </c>
      <c r="B26" s="7" t="s">
        <v>83</v>
      </c>
      <c r="C26" s="8" t="n">
        <f aca="false">$B$2+7*(21-16)</f>
        <v>46429</v>
      </c>
      <c r="D26" s="7" t="s">
        <v>99</v>
      </c>
      <c r="E26" s="7" t="s">
        <v>23</v>
      </c>
      <c r="F26" s="7" t="s">
        <v>100</v>
      </c>
      <c r="G26" s="7" t="s">
        <v>101</v>
      </c>
      <c r="H26" s="7"/>
      <c r="I26" s="0" t="s">
        <v>26</v>
      </c>
    </row>
    <row r="27" customFormat="false" ht="28.5" hidden="false" customHeight="true" outlineLevel="0" collapsed="false">
      <c r="A27" s="9" t="n">
        <v>22</v>
      </c>
      <c r="B27" s="10" t="s">
        <v>83</v>
      </c>
      <c r="C27" s="11" t="n">
        <f aca="false">$B$2+7*(22-16)</f>
        <v>46436</v>
      </c>
      <c r="D27" s="10" t="s">
        <v>102</v>
      </c>
      <c r="E27" s="10" t="s">
        <v>28</v>
      </c>
      <c r="F27" s="10" t="s">
        <v>103</v>
      </c>
      <c r="G27" s="10" t="s">
        <v>104</v>
      </c>
      <c r="H27" s="10"/>
      <c r="I27" s="0" t="s">
        <v>31</v>
      </c>
    </row>
    <row r="28" customFormat="false" ht="99.75" hidden="false" customHeight="true" outlineLevel="0" collapsed="false">
      <c r="A28" s="6" t="n">
        <v>23</v>
      </c>
      <c r="B28" s="7" t="s">
        <v>83</v>
      </c>
      <c r="C28" s="8" t="n">
        <f aca="false">$B$2+7*(23-16)</f>
        <v>46443</v>
      </c>
      <c r="D28" s="7" t="s">
        <v>105</v>
      </c>
      <c r="E28" s="7" t="s">
        <v>74</v>
      </c>
      <c r="F28" s="7" t="s">
        <v>106</v>
      </c>
      <c r="G28" s="7" t="s">
        <v>107</v>
      </c>
      <c r="H28" s="7"/>
      <c r="I28" s="0" t="s">
        <v>31</v>
      </c>
    </row>
    <row r="29" customFormat="false" ht="57" hidden="false" customHeight="true" outlineLevel="0" collapsed="false">
      <c r="A29" s="9" t="n">
        <v>24</v>
      </c>
      <c r="B29" s="10" t="s">
        <v>83</v>
      </c>
      <c r="C29" s="11" t="n">
        <f aca="false">$B$2+7*(24-16)</f>
        <v>46450</v>
      </c>
      <c r="D29" s="10" t="s">
        <v>108</v>
      </c>
      <c r="E29" s="10" t="s">
        <v>109</v>
      </c>
      <c r="F29" s="10" t="s">
        <v>110</v>
      </c>
      <c r="G29" s="10" t="s">
        <v>111</v>
      </c>
      <c r="H29" s="10"/>
      <c r="I29" s="0" t="s">
        <v>112</v>
      </c>
    </row>
    <row r="30" customFormat="false" ht="57" hidden="false" customHeight="true" outlineLevel="0" collapsed="false">
      <c r="A30" s="6" t="n">
        <v>25</v>
      </c>
      <c r="B30" s="7" t="s">
        <v>83</v>
      </c>
      <c r="C30" s="8" t="n">
        <f aca="false">$B$2+7*(25-16)</f>
        <v>46457</v>
      </c>
      <c r="D30" s="7" t="s">
        <v>113</v>
      </c>
      <c r="E30" s="7" t="s">
        <v>114</v>
      </c>
      <c r="F30" s="7" t="s">
        <v>115</v>
      </c>
      <c r="G30" s="7" t="s">
        <v>116</v>
      </c>
      <c r="H30" s="7" t="s">
        <v>117</v>
      </c>
      <c r="I30" s="0" t="s">
        <v>118</v>
      </c>
    </row>
    <row r="31" customFormat="false" ht="42.75" hidden="false" customHeight="true" outlineLevel="0" collapsed="false">
      <c r="A31" s="9" t="n">
        <v>26</v>
      </c>
      <c r="B31" s="10" t="s">
        <v>83</v>
      </c>
      <c r="C31" s="11" t="n">
        <f aca="false">$B$2+7*(26-16)</f>
        <v>46464</v>
      </c>
      <c r="D31" s="10" t="s">
        <v>119</v>
      </c>
      <c r="E31" s="10" t="s">
        <v>78</v>
      </c>
      <c r="F31" s="10" t="s">
        <v>120</v>
      </c>
      <c r="G31" s="10" t="s">
        <v>121</v>
      </c>
      <c r="H31" s="10"/>
      <c r="I31" s="0" t="s">
        <v>122</v>
      </c>
    </row>
    <row r="32" customFormat="false" ht="42.75" hidden="false" customHeight="true" outlineLevel="0" collapsed="false">
      <c r="A32" s="6" t="n">
        <v>27</v>
      </c>
      <c r="B32" s="7" t="s">
        <v>83</v>
      </c>
      <c r="C32" s="8" t="n">
        <f aca="false">$B$2+7*(27-16)</f>
        <v>46471</v>
      </c>
      <c r="D32" s="7" t="s">
        <v>123</v>
      </c>
      <c r="E32" s="7" t="s">
        <v>78</v>
      </c>
      <c r="F32" s="7" t="s">
        <v>124</v>
      </c>
      <c r="G32" s="7" t="s">
        <v>125</v>
      </c>
      <c r="H32" s="7"/>
      <c r="I32" s="0" t="s">
        <v>122</v>
      </c>
    </row>
    <row r="33" customFormat="false" ht="28.5" hidden="false" customHeight="true" outlineLevel="0" collapsed="false">
      <c r="A33" s="9" t="n">
        <v>28</v>
      </c>
      <c r="B33" s="10" t="s">
        <v>83</v>
      </c>
      <c r="C33" s="11" t="n">
        <f aca="false">$B$2+7*(28-16)</f>
        <v>46478</v>
      </c>
      <c r="D33" s="10" t="s">
        <v>126</v>
      </c>
      <c r="E33" s="10" t="s">
        <v>78</v>
      </c>
      <c r="F33" s="10" t="s">
        <v>127</v>
      </c>
      <c r="G33" s="10" t="s">
        <v>128</v>
      </c>
      <c r="H33" s="10"/>
      <c r="I33" s="0" t="s">
        <v>122</v>
      </c>
    </row>
    <row r="34" customFormat="false" ht="42.75" hidden="false" customHeight="true" outlineLevel="0" collapsed="false">
      <c r="A34" s="6" t="n">
        <v>29</v>
      </c>
      <c r="B34" s="7" t="s">
        <v>83</v>
      </c>
      <c r="C34" s="8" t="n">
        <f aca="false">$B$2+7*(29-16)</f>
        <v>46485</v>
      </c>
      <c r="D34" s="7" t="s">
        <v>129</v>
      </c>
      <c r="E34" s="7" t="s">
        <v>78</v>
      </c>
      <c r="F34" s="7" t="s">
        <v>130</v>
      </c>
      <c r="G34" s="7" t="s">
        <v>131</v>
      </c>
      <c r="H34" s="7"/>
      <c r="I34" s="0" t="s">
        <v>122</v>
      </c>
    </row>
    <row r="35" customFormat="false" ht="42.75" hidden="false" customHeight="true" outlineLevel="0" collapsed="false">
      <c r="A35" s="9" t="n">
        <v>30</v>
      </c>
      <c r="B35" s="10" t="s">
        <v>83</v>
      </c>
      <c r="C35" s="11" t="n">
        <f aca="false">$B$2+7*(30-16)</f>
        <v>46492</v>
      </c>
      <c r="D35" s="10" t="s">
        <v>132</v>
      </c>
      <c r="E35" s="10" t="s">
        <v>78</v>
      </c>
      <c r="F35" s="10" t="s">
        <v>133</v>
      </c>
      <c r="G35" s="10" t="s">
        <v>134</v>
      </c>
      <c r="H35" s="10" t="s">
        <v>135</v>
      </c>
      <c r="I35" s="0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2026-07-09T15:56:48Z</dcterms:created>
  <dc:creator>openpyxl</dc:creator>
  <dc:description/>
  <dc:language>en-US</dc:language>
  <cp:lastModifiedBy>Robert Kuropkat</cp:lastModifiedBy>
  <dcterms:modified xsi:type="dcterms:W3CDTF">2026-07-17T17:23:11Z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